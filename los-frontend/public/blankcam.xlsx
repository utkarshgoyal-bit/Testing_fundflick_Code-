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 defaultThemeVersion="124226"/>
  <xr:revisionPtr revIDLastSave="0" documentId="8_{1D7A6504-9E8A-46C0-B9A8-F3088DFF892B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" l="1"/>
  <c r="K36" i="1"/>
  <c r="K35" i="1"/>
  <c r="K34" i="1"/>
  <c r="F41" i="1"/>
  <c r="I41" i="1" s="1"/>
  <c r="I47" i="1" s="1"/>
  <c r="G11" i="4"/>
  <c r="I44" i="1"/>
  <c r="I45" i="1"/>
  <c r="I46" i="1"/>
  <c r="D62" i="1"/>
  <c r="D54" i="1"/>
  <c r="K54" i="1"/>
  <c r="K56" i="1"/>
  <c r="G54" i="1"/>
  <c r="K79" i="1"/>
  <c r="K78" i="1"/>
  <c r="K80" i="1"/>
  <c r="K71" i="1"/>
  <c r="K70" i="1"/>
  <c r="K72" i="1" s="1"/>
  <c r="K82" i="1" s="1"/>
  <c r="M18" i="1" s="1"/>
  <c r="K63" i="1"/>
  <c r="K64" i="1"/>
  <c r="K55" i="1"/>
  <c r="C47" i="1"/>
  <c r="K37" i="1"/>
  <c r="K38" i="1" s="1"/>
  <c r="L47" i="1"/>
  <c r="L14" i="1" l="1"/>
  <c r="C18" i="1"/>
  <c r="F47" i="1"/>
</calcChain>
</file>

<file path=xl/sharedStrings.xml><?xml version="1.0" encoding="utf-8"?>
<sst xmlns="http://schemas.openxmlformats.org/spreadsheetml/2006/main" count="201" uniqueCount="116">
  <si>
    <t>Application No</t>
  </si>
  <si>
    <t>Name</t>
  </si>
  <si>
    <t>Age</t>
  </si>
  <si>
    <t>Sex</t>
  </si>
  <si>
    <t>Caste</t>
  </si>
  <si>
    <t>Religion</t>
  </si>
  <si>
    <t>Marital Status</t>
  </si>
  <si>
    <t>Relation with Customer</t>
  </si>
  <si>
    <t>CIBIL Score</t>
  </si>
  <si>
    <t>Borrower</t>
  </si>
  <si>
    <t>Co- Borrower 1</t>
  </si>
  <si>
    <t>Co- Borrower 2</t>
  </si>
  <si>
    <t>Co- Borrower 3</t>
  </si>
  <si>
    <t>Current Residential Address</t>
  </si>
  <si>
    <t>Property Address</t>
  </si>
  <si>
    <t>Business/ Work Address</t>
  </si>
  <si>
    <t>Office Contact No.</t>
  </si>
  <si>
    <t>Loan Amount</t>
  </si>
  <si>
    <t>ROI</t>
  </si>
  <si>
    <t>Tenure</t>
  </si>
  <si>
    <t>EMI</t>
  </si>
  <si>
    <t>Product</t>
  </si>
  <si>
    <t>Scheme</t>
  </si>
  <si>
    <t>Purpose of Loan</t>
  </si>
  <si>
    <t>Type of Property</t>
  </si>
  <si>
    <t>Nature of Business</t>
  </si>
  <si>
    <t>Property Owner</t>
  </si>
  <si>
    <t>Branch</t>
  </si>
  <si>
    <t>Mobile No.</t>
  </si>
  <si>
    <t>Particulars</t>
  </si>
  <si>
    <t>Region</t>
  </si>
  <si>
    <t>Avg. Bank Balance</t>
  </si>
  <si>
    <t>Applicant Profile</t>
  </si>
  <si>
    <t>Loan Tenure</t>
  </si>
  <si>
    <t>S.NO</t>
  </si>
  <si>
    <t>Dependent Name</t>
  </si>
  <si>
    <t xml:space="preserve">Age </t>
  </si>
  <si>
    <t>Occupation</t>
  </si>
  <si>
    <t>Income from business</t>
  </si>
  <si>
    <t>Income from Salary</t>
  </si>
  <si>
    <t>Income of</t>
  </si>
  <si>
    <t>Amount</t>
  </si>
  <si>
    <t>DPD's Till Date</t>
  </si>
  <si>
    <t>EMI's Left</t>
  </si>
  <si>
    <t>TOTAL</t>
  </si>
  <si>
    <t>Income Source</t>
  </si>
  <si>
    <t>Sales</t>
  </si>
  <si>
    <t>Purchase</t>
  </si>
  <si>
    <t>Cash/ Bank</t>
  </si>
  <si>
    <t>Self Employed</t>
  </si>
  <si>
    <t>Total 
Income</t>
  </si>
  <si>
    <t>Income as Per IT</t>
  </si>
  <si>
    <t>IT Return Filled</t>
  </si>
  <si>
    <t>IT Amount</t>
  </si>
  <si>
    <t>CURRENT LIABILITY &amp; EXPENSES</t>
  </si>
  <si>
    <t>Bank /Institution</t>
  </si>
  <si>
    <t>Loan Type</t>
  </si>
  <si>
    <t>EMI Amount</t>
  </si>
  <si>
    <t>Liability Considered</t>
  </si>
  <si>
    <t>Liability Amount</t>
  </si>
  <si>
    <t>Property Size</t>
  </si>
  <si>
    <t>Market Value</t>
  </si>
  <si>
    <t>Distress Value</t>
  </si>
  <si>
    <t>Valuation Done By:</t>
  </si>
  <si>
    <t>Land Value</t>
  </si>
  <si>
    <t>Construction Value</t>
  </si>
  <si>
    <t>Amenities</t>
  </si>
  <si>
    <t>Plot Size</t>
  </si>
  <si>
    <t>Rate /Sqft</t>
  </si>
  <si>
    <t>Size</t>
  </si>
  <si>
    <t>Total Property Value</t>
  </si>
  <si>
    <t>VALUATION DETAILS</t>
  </si>
  <si>
    <t>Property - 1</t>
  </si>
  <si>
    <t>Property - 4</t>
  </si>
  <si>
    <t>Property - 3</t>
  </si>
  <si>
    <t>Property - 2</t>
  </si>
  <si>
    <t>Valuation Considered for Advance</t>
  </si>
  <si>
    <t>Reference Check</t>
  </si>
  <si>
    <t>Relation</t>
  </si>
  <si>
    <t xml:space="preserve">Name </t>
  </si>
  <si>
    <t>Mobile No</t>
  </si>
  <si>
    <t>Feedback Received</t>
  </si>
  <si>
    <t>Scantion Terms &amp; Conditions</t>
  </si>
  <si>
    <t>Loan Apprasial Sheet</t>
  </si>
  <si>
    <t>Valuation &amp; LTV</t>
  </si>
  <si>
    <t>LAP (Loan Against Property)</t>
  </si>
  <si>
    <t>NA</t>
  </si>
  <si>
    <t>Loan Amount Required</t>
  </si>
  <si>
    <t>Relation with Applicant</t>
  </si>
  <si>
    <t>FAMILY STRUCTURE &amp; OTHER INCOME</t>
  </si>
  <si>
    <t>Income Considered</t>
  </si>
  <si>
    <t>APPLICANT INCOME DETAILS</t>
  </si>
  <si>
    <t>Total Other Income</t>
  </si>
  <si>
    <t>Hindu</t>
  </si>
  <si>
    <t>Income Provided</t>
  </si>
  <si>
    <t>No</t>
  </si>
  <si>
    <t>Profit margin %</t>
  </si>
  <si>
    <t>Total  Income of Applicant</t>
  </si>
  <si>
    <t xml:space="preserve">Residential </t>
  </si>
  <si>
    <t>FOIR</t>
  </si>
  <si>
    <t>Service</t>
  </si>
  <si>
    <t>disbursment required within 10 to 15 days</t>
  </si>
  <si>
    <t>GREENWINGS+MAITRII</t>
  </si>
  <si>
    <t>Kailash Chand Saini</t>
  </si>
  <si>
    <t>MORTGAGE</t>
  </si>
  <si>
    <t>Co-Borrower 4</t>
  </si>
  <si>
    <t>)</t>
  </si>
  <si>
    <t>outstanding</t>
  </si>
  <si>
    <t>FC charges</t>
  </si>
  <si>
    <t>Gst 18%</t>
  </si>
  <si>
    <t>Total</t>
  </si>
  <si>
    <t xml:space="preserve"> </t>
  </si>
  <si>
    <t>SC</t>
  </si>
  <si>
    <t xml:space="preserve">Married </t>
  </si>
  <si>
    <t>Kuchaman</t>
  </si>
  <si>
    <t>The Applicant Wants minimum  5 lacs loan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</si>
</sst>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₹&quot;\ #,##0.00;[Red]&quot;₹&quot;\ \-#,##0.00"/>
    <numFmt numFmtId="171" formatCode="_ * #,##0.00_ ;_ * \-#,##0.00_ ;_ * &quot;-&quot;??_ ;_ @_ "/>
    <numFmt numFmtId="172" formatCode="_ [$₹-439]* #,##0_ ;_ [$₹-439]* \-#,##0_ ;_ [$₹-439]* &quot;-&quot;??_ ;_ @_ "/>
  </numFmts>
  <fonts count="15" x14ac:knownFonts="1">
    <font>
      <sz val="11"/>
      <color theme="1"/>
      <name val="Calibri"/>
      <family val="2"/>
      <scheme val="minor"/>
    </font>
    <font>
      <b/>
      <sz val="20"/>
      <color indexed="16"/>
      <name val="Book Antiqua"/>
      <family val="1"/>
    </font>
    <font>
      <b/>
      <sz val="10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20"/>
      <color rgb="FF002060"/>
      <name val="Book Antiqua"/>
      <family val="1"/>
    </font>
    <font>
      <b/>
      <sz val="16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8" fillId="0" borderId="1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0" fillId="0" borderId="0" xfId="0" applyFill="1" applyBorder="1"/>
    <xf numFmtId="0" fontId="0" fillId="0" borderId="1" xfId="0" applyBorder="1"/>
    <xf numFmtId="0" fontId="6" fillId="0" borderId="2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9" fillId="2" borderId="1" xfId="0" applyFont="1" applyFill="1" applyBorder="1" applyAlignment="1">
      <alignment horizontal="left" vertical="center"/>
    </xf>
    <xf numFmtId="0" fontId="5" fillId="2" borderId="0" xfId="0" applyFont="1" applyFill="1"/>
    <xf numFmtId="0" fontId="7" fillId="0" borderId="1" xfId="0" applyFont="1" applyFill="1" applyBorder="1" applyAlignment="1">
      <alignment horizontal="left"/>
    </xf>
    <xf numFmtId="10" fontId="7" fillId="0" borderId="1" xfId="0" applyNumberFormat="1" applyFont="1" applyFill="1" applyBorder="1" applyAlignment="1">
      <alignment horizontal="left"/>
    </xf>
    <xf numFmtId="172" fontId="0" fillId="0" borderId="5" xfId="0" applyNumberFormat="1" applyFill="1" applyBorder="1" applyAlignment="1"/>
    <xf numFmtId="171" fontId="4" fillId="0" borderId="1" xfId="1" applyFont="1" applyFill="1" applyBorder="1"/>
    <xf numFmtId="171" fontId="7" fillId="0" borderId="6" xfId="1" applyFont="1" applyFill="1" applyBorder="1" applyAlignment="1"/>
    <xf numFmtId="171" fontId="10" fillId="0" borderId="6" xfId="1" applyFont="1" applyFill="1" applyBorder="1" applyAlignment="1"/>
    <xf numFmtId="171" fontId="4" fillId="0" borderId="1" xfId="1" applyFont="1" applyFill="1" applyBorder="1" applyAlignment="1">
      <alignment horizontal="left"/>
    </xf>
    <xf numFmtId="9" fontId="4" fillId="0" borderId="1" xfId="2" applyNumberFormat="1" applyFont="1" applyFill="1" applyBorder="1"/>
    <xf numFmtId="171" fontId="10" fillId="0" borderId="1" xfId="0" applyNumberFormat="1" applyFont="1" applyFill="1" applyBorder="1"/>
    <xf numFmtId="0" fontId="0" fillId="0" borderId="1" xfId="0" applyFill="1" applyBorder="1" applyAlignment="1"/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" xfId="0" applyFill="1" applyBorder="1" applyAlignment="1"/>
    <xf numFmtId="0" fontId="0" fillId="0" borderId="14" xfId="0" applyBorder="1" applyAlignment="1">
      <alignment horizontal="center"/>
    </xf>
    <xf numFmtId="0" fontId="0" fillId="0" borderId="0" xfId="0" applyAlignment="1"/>
    <xf numFmtId="0" fontId="0" fillId="0" borderId="1" xfId="0" applyFill="1" applyBorder="1" applyAlignment="1">
      <alignment horizontal="left"/>
    </xf>
    <xf numFmtId="0" fontId="6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10" fontId="0" fillId="0" borderId="1" xfId="0" applyNumberFormat="1" applyFill="1" applyBorder="1" applyAlignment="1"/>
    <xf numFmtId="0" fontId="7" fillId="0" borderId="1" xfId="0" applyFont="1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6" fillId="0" borderId="1" xfId="0" applyFont="1" applyFill="1" applyBorder="1" applyAlignment="1"/>
    <xf numFmtId="0" fontId="3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7" fontId="4" fillId="0" borderId="1" xfId="1" applyNumberFormat="1" applyFont="1" applyFill="1" applyBorder="1"/>
    <xf numFmtId="0" fontId="3" fillId="0" borderId="1" xfId="0" applyFont="1" applyBorder="1" applyAlignment="1">
      <alignment wrapText="1"/>
    </xf>
    <xf numFmtId="0" fontId="6" fillId="0" borderId="1" xfId="0" applyFont="1" applyFill="1" applyBorder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6" fillId="0" borderId="1" xfId="0" applyFont="1" applyFill="1" applyBorder="1" applyAlignment="1"/>
    <xf numFmtId="0" fontId="0" fillId="0" borderId="1" xfId="0" applyFill="1" applyBorder="1" applyAlignment="1"/>
    <xf numFmtId="0" fontId="6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72" fontId="7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10" fontId="7" fillId="0" borderId="11" xfId="0" applyNumberFormat="1" applyFont="1" applyFill="1" applyBorder="1" applyAlignment="1">
      <alignment horizontal="center"/>
    </xf>
    <xf numFmtId="10" fontId="7" fillId="0" borderId="12" xfId="0" applyNumberFormat="1" applyFont="1" applyFill="1" applyBorder="1" applyAlignment="1">
      <alignment horizontal="center"/>
    </xf>
    <xf numFmtId="10" fontId="7" fillId="0" borderId="13" xfId="0" applyNumberFormat="1" applyFont="1" applyFill="1" applyBorder="1" applyAlignment="1">
      <alignment horizontal="center"/>
    </xf>
    <xf numFmtId="10" fontId="7" fillId="0" borderId="8" xfId="0" applyNumberFormat="1" applyFont="1" applyFill="1" applyBorder="1" applyAlignment="1">
      <alignment horizontal="center"/>
    </xf>
    <xf numFmtId="10" fontId="7" fillId="0" borderId="9" xfId="0" applyNumberFormat="1" applyFont="1" applyFill="1" applyBorder="1" applyAlignment="1">
      <alignment horizontal="center"/>
    </xf>
    <xf numFmtId="10" fontId="7" fillId="0" borderId="10" xfId="0" applyNumberFormat="1" applyFont="1" applyFill="1" applyBorder="1" applyAlignment="1">
      <alignment horizontal="center"/>
    </xf>
    <xf numFmtId="172" fontId="7" fillId="0" borderId="2" xfId="0" applyNumberFormat="1" applyFont="1" applyFill="1" applyBorder="1" applyAlignment="1">
      <alignment horizontal="left"/>
    </xf>
    <xf numFmtId="172" fontId="7" fillId="0" borderId="3" xfId="0" applyNumberFormat="1" applyFont="1" applyFill="1" applyBorder="1" applyAlignment="1">
      <alignment horizontal="left"/>
    </xf>
    <xf numFmtId="172" fontId="7" fillId="0" borderId="4" xfId="0" applyNumberFormat="1" applyFont="1" applyFill="1" applyBorder="1" applyAlignment="1">
      <alignment horizontal="left"/>
    </xf>
    <xf numFmtId="172" fontId="7" fillId="0" borderId="2" xfId="0" applyNumberFormat="1" applyFont="1" applyFill="1" applyBorder="1" applyAlignment="1">
      <alignment horizontal="center"/>
    </xf>
    <xf numFmtId="172" fontId="7" fillId="0" borderId="3" xfId="0" applyNumberFormat="1" applyFont="1" applyFill="1" applyBorder="1" applyAlignment="1">
      <alignment horizontal="center"/>
    </xf>
    <xf numFmtId="172" fontId="7" fillId="0" borderId="4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right"/>
    </xf>
    <xf numFmtId="0" fontId="10" fillId="0" borderId="3" xfId="0" applyFont="1" applyFill="1" applyBorder="1" applyAlignment="1">
      <alignment horizontal="right"/>
    </xf>
    <xf numFmtId="0" fontId="10" fillId="0" borderId="4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0" fillId="0" borderId="19" xfId="0" applyFont="1" applyFill="1" applyBorder="1" applyAlignment="1">
      <alignment horizontal="right"/>
    </xf>
    <xf numFmtId="0" fontId="10" fillId="0" borderId="20" xfId="0" applyFont="1" applyFill="1" applyBorder="1" applyAlignment="1">
      <alignment horizontal="right"/>
    </xf>
    <xf numFmtId="0" fontId="10" fillId="0" borderId="21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72" fontId="10" fillId="0" borderId="2" xfId="0" applyNumberFormat="1" applyFont="1" applyFill="1" applyBorder="1" applyAlignment="1">
      <alignment horizontal="right"/>
    </xf>
    <xf numFmtId="172" fontId="10" fillId="0" borderId="4" xfId="0" applyNumberFormat="1" applyFont="1" applyFill="1" applyBorder="1" applyAlignment="1">
      <alignment horizontal="right"/>
    </xf>
    <xf numFmtId="171" fontId="0" fillId="0" borderId="2" xfId="0" applyNumberFormat="1" applyFill="1" applyBorder="1" applyAlignment="1">
      <alignment horizontal="center"/>
    </xf>
    <xf numFmtId="171" fontId="0" fillId="0" borderId="4" xfId="0" applyNumberFormat="1" applyFill="1" applyBorder="1" applyAlignment="1">
      <alignment horizontal="center"/>
    </xf>
    <xf numFmtId="171" fontId="7" fillId="0" borderId="2" xfId="0" applyNumberFormat="1" applyFont="1" applyFill="1" applyBorder="1" applyAlignment="1">
      <alignment horizontal="center"/>
    </xf>
    <xf numFmtId="171" fontId="7" fillId="0" borderId="4" xfId="0" applyNumberFormat="1" applyFont="1" applyFill="1" applyBorder="1" applyAlignment="1">
      <alignment horizontal="center"/>
    </xf>
    <xf numFmtId="172" fontId="10" fillId="0" borderId="2" xfId="0" applyNumberFormat="1" applyFont="1" applyFill="1" applyBorder="1" applyAlignment="1">
      <alignment horizontal="center"/>
    </xf>
    <xf numFmtId="172" fontId="10" fillId="0" borderId="4" xfId="0" applyNumberFormat="1" applyFont="1" applyFill="1" applyBorder="1" applyAlignment="1">
      <alignment horizontal="center"/>
    </xf>
    <xf numFmtId="171" fontId="10" fillId="0" borderId="1" xfId="1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71" fontId="10" fillId="0" borderId="19" xfId="1" applyFont="1" applyBorder="1" applyAlignment="1">
      <alignment horizontal="center"/>
    </xf>
    <xf numFmtId="171" fontId="10" fillId="0" borderId="20" xfId="1" applyFont="1" applyBorder="1" applyAlignment="1">
      <alignment horizontal="center"/>
    </xf>
    <xf numFmtId="171" fontId="10" fillId="0" borderId="21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/>
    <xf numFmtId="0" fontId="11" fillId="0" borderId="13" xfId="0" applyFont="1" applyBorder="1"/>
    <xf numFmtId="0" fontId="11" fillId="0" borderId="18" xfId="0" applyFont="1" applyBorder="1"/>
    <xf numFmtId="0" fontId="11" fillId="0" borderId="0" xfId="0" applyFont="1"/>
    <xf numFmtId="0" fontId="11" fillId="0" borderId="14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0" fillId="0" borderId="0" xfId="0" applyAlignment="1">
      <alignment horizontal="left"/>
    </xf>
    <xf numFmtId="0" fontId="5" fillId="2" borderId="6" xfId="0" applyFont="1" applyFill="1" applyBorder="1" applyAlignment="1">
      <alignment horizontal="center"/>
    </xf>
    <xf numFmtId="171" fontId="5" fillId="2" borderId="6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723900</xdr:colOff>
      <xdr:row>1</xdr:row>
      <xdr:rowOff>762000</xdr:rowOff>
    </xdr:to>
    <xdr:pic>
      <xdr:nvPicPr>
        <xdr:cNvPr id="1406" name="Picture 1" descr="Maitrii group 20190604_174803.jpg">
          <a:extLst>
            <a:ext uri="{FF2B5EF4-FFF2-40B4-BE49-F238E27FC236}">
              <a16:creationId xmlns:a16="http://schemas.microsoft.com/office/drawing/2014/main" id="{07AB62E5-116B-46E4-AB52-E53FFBC7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9716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5"/>
  <sheetViews>
    <sheetView tabSelected="1" topLeftCell="A79" zoomScaleSheetLayoutView="100" workbookViewId="0">
      <selection activeCell="O112" sqref="O112"/>
    </sheetView>
  </sheetViews>
  <sheetFormatPr defaultRowHeight="15" x14ac:dyDescent="0.25"/>
  <cols>
    <col min="1" max="1" width="18.85546875" bestFit="1" customWidth="1"/>
    <col min="2" max="2" width="17" bestFit="1" customWidth="1"/>
    <col min="3" max="3" width="12.5703125" customWidth="1"/>
    <col min="4" max="4" width="9.140625" customWidth="1"/>
    <col min="5" max="5" width="8.7109375" customWidth="1"/>
    <col min="6" max="6" width="10.5703125" customWidth="1"/>
    <col min="7" max="7" width="9" bestFit="1" customWidth="1"/>
    <col min="8" max="8" width="11.7109375" customWidth="1"/>
    <col min="9" max="9" width="9.28515625" customWidth="1"/>
    <col min="10" max="10" width="9.140625" customWidth="1"/>
    <col min="11" max="11" width="12" customWidth="1"/>
    <col min="12" max="12" width="11.140625" customWidth="1"/>
    <col min="13" max="13" width="12.5703125" customWidth="1"/>
    <col min="16" max="18" width="10.42578125" bestFit="1" customWidth="1"/>
  </cols>
  <sheetData>
    <row r="1" spans="1:13" x14ac:dyDescent="0.25">
      <c r="A1" s="87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ht="60.75" customHeight="1" x14ac:dyDescent="0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x14ac:dyDescent="0.25">
      <c r="A3" s="89" t="s">
        <v>83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3" x14ac:dyDescent="0.2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3" x14ac:dyDescent="0.25">
      <c r="A5" s="16" t="s">
        <v>0</v>
      </c>
      <c r="B5" s="90"/>
      <c r="C5" s="91"/>
      <c r="D5" s="91"/>
      <c r="E5" s="91"/>
      <c r="F5" s="92" t="s">
        <v>27</v>
      </c>
      <c r="G5" s="93"/>
      <c r="H5" s="94" t="s">
        <v>114</v>
      </c>
      <c r="I5" s="95"/>
      <c r="J5" s="92" t="s">
        <v>30</v>
      </c>
      <c r="K5" s="96"/>
      <c r="L5" s="94"/>
      <c r="M5" s="95"/>
    </row>
    <row r="6" spans="1:13" ht="28.5" customHeight="1" x14ac:dyDescent="0.25">
      <c r="A6" s="4" t="s">
        <v>29</v>
      </c>
      <c r="B6" s="79" t="s">
        <v>1</v>
      </c>
      <c r="C6" s="79"/>
      <c r="D6" s="79"/>
      <c r="E6" s="79"/>
      <c r="F6" s="4" t="s">
        <v>2</v>
      </c>
      <c r="G6" s="4" t="s">
        <v>3</v>
      </c>
      <c r="H6" s="4" t="s">
        <v>4</v>
      </c>
      <c r="I6" s="4" t="s">
        <v>5</v>
      </c>
      <c r="J6" s="5" t="s">
        <v>6</v>
      </c>
      <c r="K6" s="4" t="s">
        <v>28</v>
      </c>
      <c r="L6" s="5" t="s">
        <v>7</v>
      </c>
      <c r="M6" s="4" t="s">
        <v>8</v>
      </c>
    </row>
    <row r="7" spans="1:13" x14ac:dyDescent="0.25">
      <c r="A7" s="4" t="s">
        <v>9</v>
      </c>
      <c r="B7" s="72"/>
      <c r="C7" s="73"/>
      <c r="D7" s="73"/>
      <c r="E7" s="74"/>
      <c r="F7" s="2"/>
      <c r="G7" s="64"/>
      <c r="H7" s="67" t="s">
        <v>112</v>
      </c>
      <c r="I7" s="2" t="s">
        <v>93</v>
      </c>
      <c r="J7" s="67" t="s">
        <v>113</v>
      </c>
      <c r="K7" s="67"/>
      <c r="L7" s="65"/>
      <c r="M7" s="46"/>
    </row>
    <row r="8" spans="1:13" x14ac:dyDescent="0.25">
      <c r="A8" s="4" t="s">
        <v>10</v>
      </c>
      <c r="B8" s="72"/>
      <c r="C8" s="73"/>
      <c r="D8" s="73"/>
      <c r="E8" s="74"/>
      <c r="F8" s="2"/>
      <c r="G8" s="70"/>
      <c r="H8" s="67" t="s">
        <v>112</v>
      </c>
      <c r="I8" s="54" t="s">
        <v>93</v>
      </c>
      <c r="J8" s="70" t="s">
        <v>113</v>
      </c>
      <c r="K8" s="67"/>
      <c r="L8" s="71"/>
      <c r="M8" s="46"/>
    </row>
    <row r="9" spans="1:13" x14ac:dyDescent="0.25">
      <c r="A9" s="4" t="s">
        <v>11</v>
      </c>
      <c r="B9" s="83"/>
      <c r="C9" s="83"/>
      <c r="D9" s="83"/>
      <c r="E9" s="83"/>
      <c r="F9" s="50"/>
      <c r="G9" s="61"/>
      <c r="H9" s="67" t="s">
        <v>112</v>
      </c>
      <c r="I9" s="66" t="s">
        <v>93</v>
      </c>
      <c r="J9" s="68" t="s">
        <v>113</v>
      </c>
      <c r="K9" s="67"/>
      <c r="L9" s="69"/>
      <c r="M9" s="46">
        <v>629</v>
      </c>
    </row>
    <row r="10" spans="1:13" x14ac:dyDescent="0.25">
      <c r="A10" s="4" t="s">
        <v>12</v>
      </c>
      <c r="B10" s="83"/>
      <c r="C10" s="83"/>
      <c r="D10" s="83"/>
      <c r="E10" s="83"/>
      <c r="F10" s="2"/>
      <c r="G10" s="61"/>
      <c r="H10" s="69"/>
      <c r="I10" s="69"/>
      <c r="J10" s="69"/>
      <c r="K10" s="67"/>
      <c r="L10" s="69"/>
      <c r="M10" s="46"/>
    </row>
    <row r="11" spans="1:13" x14ac:dyDescent="0.25">
      <c r="A11" s="60" t="s">
        <v>105</v>
      </c>
      <c r="B11" s="83"/>
      <c r="C11" s="83"/>
      <c r="D11" s="83"/>
      <c r="E11" s="83"/>
      <c r="F11" s="2"/>
      <c r="G11" s="66"/>
      <c r="H11" s="67"/>
      <c r="I11" s="66"/>
      <c r="J11" s="67"/>
      <c r="K11" s="42"/>
      <c r="L11" s="66"/>
      <c r="M11" s="46"/>
    </row>
    <row r="12" spans="1:13" x14ac:dyDescent="0.25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6"/>
    </row>
    <row r="13" spans="1:13" s="41" customFormat="1" ht="15" customHeight="1" x14ac:dyDescent="0.25">
      <c r="A13" s="52" t="s">
        <v>13</v>
      </c>
      <c r="B13" s="52"/>
      <c r="C13" s="72"/>
      <c r="D13" s="73"/>
      <c r="E13" s="73"/>
      <c r="F13" s="73"/>
      <c r="G13" s="73"/>
      <c r="H13" s="73"/>
      <c r="I13" s="74"/>
      <c r="J13" s="63"/>
      <c r="K13" s="55"/>
      <c r="L13" s="51"/>
      <c r="M13" s="51"/>
    </row>
    <row r="14" spans="1:13" s="41" customFormat="1" ht="15" customHeight="1" x14ac:dyDescent="0.25">
      <c r="A14" s="43" t="s">
        <v>14</v>
      </c>
      <c r="B14" s="43"/>
      <c r="C14" s="72"/>
      <c r="D14" s="73"/>
      <c r="E14" s="73"/>
      <c r="F14" s="73"/>
      <c r="G14" s="73"/>
      <c r="H14" s="73"/>
      <c r="I14" s="74"/>
      <c r="J14" s="63"/>
      <c r="K14" s="48" t="s">
        <v>99</v>
      </c>
      <c r="L14" s="47" t="e">
        <f>I47/K38</f>
        <v>#NUM!</v>
      </c>
      <c r="M14" s="44"/>
    </row>
    <row r="15" spans="1:13" x14ac:dyDescent="0.25">
      <c r="A15" s="77" t="s">
        <v>15</v>
      </c>
      <c r="B15" s="77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</row>
    <row r="16" spans="1:13" x14ac:dyDescent="0.25">
      <c r="A16" s="79" t="s">
        <v>16</v>
      </c>
      <c r="B16" s="79"/>
      <c r="C16" s="80"/>
      <c r="D16" s="80"/>
      <c r="E16" s="81"/>
      <c r="F16" s="81"/>
      <c r="G16" s="81"/>
      <c r="H16" s="82"/>
      <c r="I16" s="81"/>
      <c r="J16" s="72" t="s">
        <v>32</v>
      </c>
      <c r="K16" s="74"/>
      <c r="L16" s="72" t="s">
        <v>100</v>
      </c>
      <c r="M16" s="74"/>
    </row>
    <row r="17" spans="1:19" x14ac:dyDescent="0.25">
      <c r="A17" s="79" t="s">
        <v>87</v>
      </c>
      <c r="B17" s="79"/>
      <c r="C17" s="108"/>
      <c r="D17" s="109"/>
      <c r="E17" s="110"/>
      <c r="F17" s="100"/>
      <c r="G17" s="102">
        <v>0.2</v>
      </c>
      <c r="H17" s="103"/>
      <c r="I17" s="104"/>
      <c r="J17" s="75" t="s">
        <v>33</v>
      </c>
      <c r="K17" s="76"/>
      <c r="L17" s="18"/>
      <c r="M17" s="18">
        <v>60</v>
      </c>
    </row>
    <row r="18" spans="1:19" x14ac:dyDescent="0.25">
      <c r="A18" s="79" t="s">
        <v>20</v>
      </c>
      <c r="B18" s="79"/>
      <c r="C18" s="111" t="e">
        <f>F41</f>
        <v>#NUM!</v>
      </c>
      <c r="D18" s="112"/>
      <c r="E18" s="113"/>
      <c r="F18" s="101"/>
      <c r="G18" s="105"/>
      <c r="H18" s="106"/>
      <c r="I18" s="107"/>
      <c r="J18" s="75" t="s">
        <v>84</v>
      </c>
      <c r="K18" s="76"/>
      <c r="L18" s="18"/>
      <c r="M18" s="19" t="e">
        <f>C17/K82</f>
        <v>#DIV/0!</v>
      </c>
    </row>
    <row r="19" spans="1:19" x14ac:dyDescent="0.25">
      <c r="A19" s="79" t="s">
        <v>21</v>
      </c>
      <c r="B19" s="79"/>
      <c r="C19" s="72" t="s">
        <v>85</v>
      </c>
      <c r="D19" s="73"/>
      <c r="E19" s="73"/>
      <c r="F19" s="73"/>
      <c r="G19" s="73"/>
      <c r="H19" s="73"/>
      <c r="I19" s="74"/>
      <c r="J19" s="83" t="s">
        <v>22</v>
      </c>
      <c r="K19" s="83"/>
      <c r="L19" s="72" t="s">
        <v>86</v>
      </c>
      <c r="M19" s="74"/>
    </row>
    <row r="20" spans="1:19" x14ac:dyDescent="0.25">
      <c r="A20" s="79" t="s">
        <v>23</v>
      </c>
      <c r="B20" s="79"/>
      <c r="C20" s="61"/>
      <c r="D20" s="61"/>
      <c r="J20" s="99" t="s">
        <v>24</v>
      </c>
      <c r="K20" s="99"/>
      <c r="L20" s="97" t="s">
        <v>98</v>
      </c>
      <c r="M20" s="98"/>
    </row>
    <row r="21" spans="1:19" x14ac:dyDescent="0.25">
      <c r="A21" s="79" t="s">
        <v>25</v>
      </c>
      <c r="B21" s="79"/>
      <c r="C21" s="72"/>
      <c r="D21" s="73"/>
      <c r="E21" s="73"/>
      <c r="F21" s="73"/>
      <c r="G21" s="73"/>
      <c r="H21" s="73"/>
      <c r="I21" s="74"/>
      <c r="J21" s="99" t="s">
        <v>26</v>
      </c>
      <c r="K21" s="99"/>
      <c r="L21" s="97"/>
      <c r="M21" s="98"/>
    </row>
    <row r="22" spans="1:19" x14ac:dyDescent="0.25">
      <c r="A22" s="79" t="s">
        <v>27</v>
      </c>
      <c r="B22" s="79"/>
      <c r="C22" s="72"/>
      <c r="D22" s="73"/>
      <c r="E22" s="73"/>
      <c r="F22" s="73"/>
      <c r="G22" s="73"/>
      <c r="H22" s="73"/>
      <c r="I22" s="74"/>
      <c r="J22" s="99" t="s">
        <v>31</v>
      </c>
      <c r="K22" s="99"/>
      <c r="L22" s="97"/>
      <c r="M22" s="98"/>
    </row>
    <row r="23" spans="1:19" x14ac:dyDescent="0.25">
      <c r="A23" s="135" t="s">
        <v>89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9" ht="60" x14ac:dyDescent="0.25">
      <c r="A24" s="7" t="s">
        <v>34</v>
      </c>
      <c r="B24" s="79" t="s">
        <v>35</v>
      </c>
      <c r="C24" s="79"/>
      <c r="D24" s="7" t="s">
        <v>36</v>
      </c>
      <c r="E24" s="8" t="s">
        <v>88</v>
      </c>
      <c r="F24" s="7" t="s">
        <v>37</v>
      </c>
      <c r="G24" s="132" t="s">
        <v>111</v>
      </c>
      <c r="H24" s="133"/>
      <c r="I24" s="133"/>
      <c r="J24" s="134"/>
      <c r="K24" s="8" t="s">
        <v>94</v>
      </c>
      <c r="L24" s="8" t="s">
        <v>90</v>
      </c>
      <c r="M24" s="8" t="s">
        <v>92</v>
      </c>
      <c r="R24" s="62"/>
      <c r="S24" s="61"/>
    </row>
    <row r="25" spans="1:19" x14ac:dyDescent="0.25">
      <c r="A25" s="1">
        <v>1</v>
      </c>
      <c r="B25" s="78"/>
      <c r="C25" s="78"/>
      <c r="D25" s="3"/>
      <c r="E25" s="39"/>
      <c r="F25" s="27"/>
      <c r="G25" s="80"/>
      <c r="H25" s="80"/>
      <c r="I25" s="80"/>
      <c r="J25" s="80"/>
      <c r="K25" s="21"/>
      <c r="L25" s="21"/>
      <c r="M25" s="21"/>
      <c r="R25" s="62"/>
    </row>
    <row r="26" spans="1:19" x14ac:dyDescent="0.25">
      <c r="A26" s="1">
        <v>2</v>
      </c>
      <c r="B26" s="78"/>
      <c r="C26" s="78"/>
      <c r="D26" s="3"/>
      <c r="E26" s="39"/>
      <c r="F26" s="27"/>
      <c r="G26" s="80"/>
      <c r="H26" s="80"/>
      <c r="I26" s="80"/>
      <c r="J26" s="80"/>
      <c r="K26" s="21"/>
      <c r="L26" s="21"/>
      <c r="M26" s="21"/>
      <c r="R26" s="61"/>
    </row>
    <row r="27" spans="1:19" x14ac:dyDescent="0.25">
      <c r="A27" s="1">
        <v>3</v>
      </c>
      <c r="B27" s="78"/>
      <c r="C27" s="78"/>
      <c r="D27" s="3"/>
      <c r="E27" s="3"/>
      <c r="F27" s="3"/>
      <c r="G27" s="80"/>
      <c r="H27" s="80"/>
      <c r="I27" s="80"/>
      <c r="J27" s="80"/>
      <c r="K27" s="21"/>
      <c r="L27" s="21"/>
      <c r="M27" s="21"/>
    </row>
    <row r="28" spans="1:19" x14ac:dyDescent="0.25">
      <c r="A28" s="1">
        <v>4</v>
      </c>
      <c r="B28" s="78"/>
      <c r="C28" s="78"/>
      <c r="D28" s="3"/>
      <c r="E28" s="3"/>
      <c r="F28" s="3"/>
      <c r="G28" s="80"/>
      <c r="H28" s="80"/>
      <c r="I28" s="80"/>
      <c r="J28" s="80"/>
      <c r="K28" s="21"/>
      <c r="L28" s="21"/>
      <c r="M28" s="21"/>
    </row>
    <row r="29" spans="1:19" ht="18.75" customHeight="1" thickBot="1" x14ac:dyDescent="0.3">
      <c r="A29" s="114"/>
      <c r="B29" s="115"/>
      <c r="C29" s="115"/>
      <c r="D29" s="115"/>
      <c r="E29" s="115"/>
      <c r="F29" s="115"/>
      <c r="G29" s="115"/>
      <c r="H29" s="115"/>
      <c r="I29" s="115"/>
      <c r="J29" s="116"/>
      <c r="K29" s="22"/>
      <c r="L29" s="22"/>
      <c r="M29" s="22"/>
    </row>
    <row r="30" spans="1:19" ht="10.5" customHeight="1" thickTop="1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3"/>
      <c r="K30" s="20"/>
      <c r="L30" s="20"/>
      <c r="M30" s="20"/>
    </row>
    <row r="31" spans="1:19" x14ac:dyDescent="0.25">
      <c r="A31" s="117" t="s">
        <v>91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</row>
    <row r="32" spans="1:19" ht="30" customHeight="1" x14ac:dyDescent="0.25">
      <c r="A32" s="123" t="s">
        <v>29</v>
      </c>
      <c r="B32" s="124"/>
      <c r="C32" s="118" t="s">
        <v>38</v>
      </c>
      <c r="D32" s="118"/>
      <c r="E32" s="118"/>
      <c r="F32" s="118"/>
      <c r="G32" s="119" t="s">
        <v>39</v>
      </c>
      <c r="H32" s="120"/>
      <c r="I32" s="118" t="s">
        <v>49</v>
      </c>
      <c r="J32" s="118"/>
      <c r="K32" s="125" t="s">
        <v>50</v>
      </c>
      <c r="L32" s="123" t="s">
        <v>51</v>
      </c>
      <c r="M32" s="124"/>
    </row>
    <row r="33" spans="1:17" ht="45" x14ac:dyDescent="0.25">
      <c r="A33" s="4" t="s">
        <v>45</v>
      </c>
      <c r="B33" s="4" t="s">
        <v>40</v>
      </c>
      <c r="C33" s="7" t="s">
        <v>46</v>
      </c>
      <c r="D33" s="7" t="s">
        <v>47</v>
      </c>
      <c r="E33" s="8" t="s">
        <v>96</v>
      </c>
      <c r="F33" s="7" t="s">
        <v>41</v>
      </c>
      <c r="G33" s="8" t="s">
        <v>48</v>
      </c>
      <c r="H33" s="7" t="s">
        <v>41</v>
      </c>
      <c r="I33" s="8" t="s">
        <v>48</v>
      </c>
      <c r="J33" s="7" t="s">
        <v>41</v>
      </c>
      <c r="K33" s="126"/>
      <c r="L33" s="8" t="s">
        <v>52</v>
      </c>
      <c r="M33" s="7" t="s">
        <v>53</v>
      </c>
    </row>
    <row r="34" spans="1:17" x14ac:dyDescent="0.25">
      <c r="A34" s="1"/>
      <c r="B34" s="53"/>
      <c r="C34" s="1"/>
      <c r="D34" s="1"/>
      <c r="E34" s="1"/>
      <c r="F34" s="59"/>
      <c r="G34" s="1"/>
      <c r="H34" s="24"/>
      <c r="I34" s="1"/>
      <c r="J34" s="1"/>
      <c r="K34" s="21">
        <f>F34</f>
        <v>0</v>
      </c>
      <c r="L34" s="1" t="s">
        <v>95</v>
      </c>
      <c r="M34" s="1"/>
    </row>
    <row r="35" spans="1:17" x14ac:dyDescent="0.25">
      <c r="A35" s="61"/>
      <c r="B35" s="53"/>
      <c r="C35" s="1"/>
      <c r="D35" s="1"/>
      <c r="E35" s="1"/>
      <c r="F35" s="59"/>
      <c r="G35" s="1"/>
      <c r="H35" s="21"/>
      <c r="I35" s="1"/>
      <c r="J35" s="1"/>
      <c r="K35" s="21">
        <f>F35</f>
        <v>0</v>
      </c>
      <c r="L35" s="1" t="s">
        <v>95</v>
      </c>
      <c r="M35" s="1"/>
    </row>
    <row r="36" spans="1:17" x14ac:dyDescent="0.25">
      <c r="A36" s="1"/>
      <c r="B36" s="53"/>
      <c r="C36" s="1"/>
      <c r="D36" s="1"/>
      <c r="E36" s="1"/>
      <c r="F36" s="59"/>
      <c r="G36" s="1"/>
      <c r="H36" s="21"/>
      <c r="I36" s="1"/>
      <c r="J36" s="1"/>
      <c r="K36" s="21">
        <f>F36</f>
        <v>0</v>
      </c>
      <c r="L36" s="1" t="s">
        <v>95</v>
      </c>
      <c r="M36" s="1"/>
    </row>
    <row r="37" spans="1:17" x14ac:dyDescent="0.25">
      <c r="A37" s="1"/>
      <c r="B37" s="53"/>
      <c r="C37" s="1"/>
      <c r="D37" s="1"/>
      <c r="E37" s="1"/>
      <c r="F37" s="7"/>
      <c r="G37" s="1"/>
      <c r="H37" s="1"/>
      <c r="I37" s="1"/>
      <c r="J37" s="1"/>
      <c r="K37" s="21">
        <f>F37+H37+J37</f>
        <v>0</v>
      </c>
      <c r="L37" s="1"/>
      <c r="M37" s="1"/>
    </row>
    <row r="38" spans="1:17" ht="15.75" thickBot="1" x14ac:dyDescent="0.3">
      <c r="A38" s="129" t="s">
        <v>97</v>
      </c>
      <c r="B38" s="130"/>
      <c r="C38" s="130"/>
      <c r="D38" s="130"/>
      <c r="E38" s="130"/>
      <c r="F38" s="130"/>
      <c r="G38" s="130"/>
      <c r="H38" s="130"/>
      <c r="I38" s="130"/>
      <c r="J38" s="131"/>
      <c r="K38" s="23">
        <f>SUM(K34:K37)</f>
        <v>0</v>
      </c>
      <c r="L38" s="127"/>
      <c r="M38" s="128"/>
    </row>
    <row r="39" spans="1:17" ht="15.75" thickTop="1" x14ac:dyDescent="0.25">
      <c r="A39" s="121" t="s">
        <v>54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2"/>
      <c r="M39" s="122"/>
    </row>
    <row r="40" spans="1:17" ht="30" x14ac:dyDescent="0.25">
      <c r="A40" s="7" t="s">
        <v>55</v>
      </c>
      <c r="B40" s="7" t="s">
        <v>56</v>
      </c>
      <c r="C40" s="8" t="s">
        <v>17</v>
      </c>
      <c r="D40" s="7" t="s">
        <v>19</v>
      </c>
      <c r="E40" s="7" t="s">
        <v>18</v>
      </c>
      <c r="F40" s="7" t="s">
        <v>20</v>
      </c>
      <c r="G40" s="8" t="s">
        <v>42</v>
      </c>
      <c r="H40" s="8" t="s">
        <v>43</v>
      </c>
      <c r="I40" s="123" t="s">
        <v>57</v>
      </c>
      <c r="J40" s="124"/>
      <c r="K40" s="8" t="s">
        <v>58</v>
      </c>
      <c r="L40" s="119" t="s">
        <v>59</v>
      </c>
      <c r="M40" s="120"/>
    </row>
    <row r="41" spans="1:17" x14ac:dyDescent="0.25">
      <c r="A41" s="1" t="s">
        <v>102</v>
      </c>
      <c r="B41" s="1" t="s">
        <v>104</v>
      </c>
      <c r="C41" s="21"/>
      <c r="D41" s="1"/>
      <c r="E41" s="25"/>
      <c r="F41" s="58" t="e">
        <f>PMT($E$41/12,D41,-$C$41)</f>
        <v>#NUM!</v>
      </c>
      <c r="G41" s="1"/>
      <c r="H41" s="1"/>
      <c r="I41" s="140" t="e">
        <f t="shared" ref="I41:I46" si="0">F41</f>
        <v>#NUM!</v>
      </c>
      <c r="J41" s="141"/>
      <c r="K41" s="1"/>
      <c r="L41" s="174"/>
      <c r="M41" s="175"/>
    </row>
    <row r="42" spans="1:17" x14ac:dyDescent="0.25">
      <c r="A42" s="1"/>
      <c r="B42" s="1"/>
      <c r="C42" s="21"/>
      <c r="D42" s="1"/>
      <c r="E42" s="25"/>
      <c r="F42" s="21"/>
      <c r="G42" s="1"/>
      <c r="H42" s="1"/>
      <c r="I42" s="140">
        <f>F42</f>
        <v>0</v>
      </c>
      <c r="J42" s="141"/>
      <c r="K42" s="1"/>
      <c r="L42" s="176"/>
      <c r="M42" s="177"/>
    </row>
    <row r="43" spans="1:17" x14ac:dyDescent="0.25">
      <c r="A43" s="1"/>
      <c r="B43" s="1"/>
      <c r="C43" s="21"/>
      <c r="D43" s="1"/>
      <c r="E43" s="25"/>
      <c r="F43" s="21"/>
      <c r="G43" s="1"/>
      <c r="H43" s="1"/>
      <c r="I43" s="142"/>
      <c r="J43" s="143"/>
      <c r="K43" s="1"/>
      <c r="L43" s="176"/>
      <c r="M43" s="177"/>
    </row>
    <row r="44" spans="1:17" x14ac:dyDescent="0.25">
      <c r="A44" s="1"/>
      <c r="B44" s="1"/>
      <c r="C44" s="21"/>
      <c r="D44" s="1"/>
      <c r="E44" s="25"/>
      <c r="F44" s="21"/>
      <c r="G44" s="1"/>
      <c r="H44" s="1"/>
      <c r="I44" s="142">
        <f t="shared" si="0"/>
        <v>0</v>
      </c>
      <c r="J44" s="143"/>
      <c r="K44" s="1"/>
      <c r="L44" s="176"/>
      <c r="M44" s="177"/>
    </row>
    <row r="45" spans="1:17" x14ac:dyDescent="0.25">
      <c r="A45" s="1"/>
      <c r="B45" s="1"/>
      <c r="C45" s="21"/>
      <c r="D45" s="1"/>
      <c r="E45" s="25"/>
      <c r="F45" s="21"/>
      <c r="G45" s="1"/>
      <c r="H45" s="1"/>
      <c r="I45" s="142">
        <f t="shared" si="0"/>
        <v>0</v>
      </c>
      <c r="J45" s="143"/>
      <c r="K45" s="1"/>
      <c r="L45" s="176"/>
      <c r="M45" s="177"/>
    </row>
    <row r="46" spans="1:17" x14ac:dyDescent="0.25">
      <c r="A46" s="1"/>
      <c r="B46" s="1"/>
      <c r="C46" s="21"/>
      <c r="D46" s="1"/>
      <c r="E46" s="25"/>
      <c r="F46" s="21"/>
      <c r="G46" s="1"/>
      <c r="H46" s="1"/>
      <c r="I46" s="142">
        <f t="shared" si="0"/>
        <v>0</v>
      </c>
      <c r="J46" s="143"/>
      <c r="K46" s="1"/>
      <c r="L46" s="178"/>
      <c r="M46" s="179"/>
    </row>
    <row r="47" spans="1:17" x14ac:dyDescent="0.25">
      <c r="A47" s="136" t="s">
        <v>44</v>
      </c>
      <c r="B47" s="137"/>
      <c r="C47" s="26">
        <f>SUM(C41:C46)</f>
        <v>0</v>
      </c>
      <c r="D47" s="1"/>
      <c r="E47" s="1"/>
      <c r="F47" s="26" t="e">
        <f>SUM(F41:F46)</f>
        <v>#NUM!</v>
      </c>
      <c r="G47" s="1"/>
      <c r="H47" s="1"/>
      <c r="I47" s="144" t="e">
        <f>SUM(I41:J46)</f>
        <v>#NUM!</v>
      </c>
      <c r="J47" s="145"/>
      <c r="K47" s="1"/>
      <c r="L47" s="138">
        <f>SUM(L41:M46)</f>
        <v>0</v>
      </c>
      <c r="M47" s="139"/>
      <c r="Q47" s="56"/>
    </row>
    <row r="48" spans="1:17" x14ac:dyDescent="0.25">
      <c r="A48" s="147" t="s">
        <v>71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</row>
    <row r="49" spans="1:13" ht="30" x14ac:dyDescent="0.25">
      <c r="A49" s="6" t="s">
        <v>72</v>
      </c>
      <c r="B49" s="33"/>
      <c r="C49" s="34"/>
      <c r="D49" s="34"/>
      <c r="E49" s="34"/>
      <c r="F49" s="34"/>
      <c r="G49" s="34"/>
      <c r="H49" s="35"/>
      <c r="I49" s="28" t="s">
        <v>63</v>
      </c>
      <c r="J49" s="28"/>
      <c r="K49" s="36" t="s">
        <v>103</v>
      </c>
      <c r="L49" s="37"/>
      <c r="M49" s="38"/>
    </row>
    <row r="50" spans="1:13" s="41" customFormat="1" x14ac:dyDescent="0.25">
      <c r="A50" s="39" t="s">
        <v>14</v>
      </c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40"/>
    </row>
    <row r="51" spans="1:13" x14ac:dyDescent="0.25">
      <c r="A51" s="1" t="s">
        <v>60</v>
      </c>
      <c r="B51" s="33"/>
      <c r="C51" s="34"/>
      <c r="D51" s="34"/>
      <c r="E51" s="34"/>
      <c r="F51" s="34"/>
      <c r="G51" s="34"/>
      <c r="H51" s="35"/>
      <c r="I51" s="29"/>
      <c r="J51" s="29"/>
      <c r="K51" s="30"/>
      <c r="L51" s="31"/>
      <c r="M51" s="32"/>
    </row>
    <row r="52" spans="1:13" x14ac:dyDescent="0.25">
      <c r="A52" s="1"/>
      <c r="B52" s="148" t="s">
        <v>64</v>
      </c>
      <c r="C52" s="148"/>
      <c r="D52" s="148"/>
      <c r="E52" s="118" t="s">
        <v>65</v>
      </c>
      <c r="F52" s="118"/>
      <c r="G52" s="118"/>
      <c r="H52" s="118" t="s">
        <v>66</v>
      </c>
      <c r="I52" s="118"/>
      <c r="J52" s="118"/>
      <c r="K52" s="149" t="s">
        <v>70</v>
      </c>
      <c r="L52" s="150"/>
      <c r="M52" s="151"/>
    </row>
    <row r="53" spans="1:13" x14ac:dyDescent="0.25">
      <c r="A53" s="7" t="s">
        <v>29</v>
      </c>
      <c r="B53" s="7" t="s">
        <v>67</v>
      </c>
      <c r="C53" s="7" t="s">
        <v>68</v>
      </c>
      <c r="D53" s="7" t="s">
        <v>41</v>
      </c>
      <c r="E53" s="7" t="s">
        <v>69</v>
      </c>
      <c r="F53" s="7" t="s">
        <v>68</v>
      </c>
      <c r="G53" s="7" t="s">
        <v>41</v>
      </c>
      <c r="H53" s="7" t="s">
        <v>69</v>
      </c>
      <c r="I53" s="7" t="s">
        <v>68</v>
      </c>
      <c r="J53" s="7" t="s">
        <v>41</v>
      </c>
      <c r="K53" s="152"/>
      <c r="L53" s="153"/>
      <c r="M53" s="154"/>
    </row>
    <row r="54" spans="1:13" x14ac:dyDescent="0.25">
      <c r="A54" s="1" t="s">
        <v>61</v>
      </c>
      <c r="B54" s="57"/>
      <c r="C54" s="45"/>
      <c r="D54" s="1">
        <f>B54*C54</f>
        <v>0</v>
      </c>
      <c r="E54" s="49"/>
      <c r="F54" s="10"/>
      <c r="G54" s="10">
        <f>F54*E54</f>
        <v>0</v>
      </c>
      <c r="H54" s="10"/>
      <c r="I54" s="10"/>
      <c r="J54" s="10"/>
      <c r="K54" s="146">
        <f>D54+G54+J54</f>
        <v>0</v>
      </c>
      <c r="L54" s="146"/>
      <c r="M54" s="146"/>
    </row>
    <row r="55" spans="1:13" x14ac:dyDescent="0.25">
      <c r="A55" s="1" t="s">
        <v>62</v>
      </c>
      <c r="B55" s="1"/>
      <c r="C55" s="1"/>
      <c r="D55" s="1"/>
      <c r="E55" s="10"/>
      <c r="F55" s="10"/>
      <c r="G55" s="10"/>
      <c r="H55" s="10"/>
      <c r="I55" s="10"/>
      <c r="J55" s="10"/>
      <c r="K55" s="146">
        <f>D55+G55+J55</f>
        <v>0</v>
      </c>
      <c r="L55" s="146"/>
      <c r="M55" s="146"/>
    </row>
    <row r="56" spans="1:13" ht="15.75" thickBot="1" x14ac:dyDescent="0.3">
      <c r="A56" s="114" t="s">
        <v>70</v>
      </c>
      <c r="B56" s="115"/>
      <c r="C56" s="115"/>
      <c r="D56" s="115"/>
      <c r="E56" s="115"/>
      <c r="F56" s="115"/>
      <c r="G56" s="115"/>
      <c r="H56" s="115"/>
      <c r="I56" s="115"/>
      <c r="J56" s="116"/>
      <c r="K56" s="155">
        <f>SUM(K54:M55)</f>
        <v>0</v>
      </c>
      <c r="L56" s="156"/>
      <c r="M56" s="157"/>
    </row>
    <row r="57" spans="1:13" ht="15.75" thickTop="1" x14ac:dyDescent="0.25">
      <c r="A57" s="6" t="s">
        <v>75</v>
      </c>
      <c r="B57" s="158"/>
      <c r="C57" s="159"/>
      <c r="D57" s="159"/>
      <c r="E57" s="159"/>
      <c r="F57" s="159"/>
      <c r="G57" s="159"/>
      <c r="H57" s="160"/>
      <c r="I57" s="161" t="s">
        <v>63</v>
      </c>
      <c r="J57" s="161"/>
      <c r="K57" s="163" t="s">
        <v>103</v>
      </c>
      <c r="L57" s="164"/>
      <c r="M57" s="165"/>
    </row>
    <row r="58" spans="1:13" x14ac:dyDescent="0.25">
      <c r="A58" s="1" t="s">
        <v>14</v>
      </c>
      <c r="B58" s="78"/>
      <c r="C58" s="78"/>
      <c r="D58" s="78"/>
      <c r="E58" s="78"/>
      <c r="F58" s="78"/>
      <c r="G58" s="78"/>
      <c r="H58" s="78"/>
      <c r="I58" s="162"/>
      <c r="J58" s="162"/>
      <c r="K58" s="166"/>
      <c r="L58" s="167"/>
      <c r="M58" s="168"/>
    </row>
    <row r="59" spans="1:13" x14ac:dyDescent="0.25">
      <c r="A59" s="1" t="s">
        <v>60</v>
      </c>
      <c r="B59" s="172"/>
      <c r="C59" s="172"/>
      <c r="D59" s="172"/>
      <c r="E59" s="172"/>
      <c r="F59" s="172"/>
      <c r="G59" s="172"/>
      <c r="H59" s="172"/>
      <c r="I59" s="126"/>
      <c r="J59" s="126"/>
      <c r="K59" s="169"/>
      <c r="L59" s="170"/>
      <c r="M59" s="171"/>
    </row>
    <row r="60" spans="1:13" x14ac:dyDescent="0.25">
      <c r="A60" s="1"/>
      <c r="B60" s="148" t="s">
        <v>64</v>
      </c>
      <c r="C60" s="148"/>
      <c r="D60" s="148"/>
      <c r="E60" s="118" t="s">
        <v>65</v>
      </c>
      <c r="F60" s="118"/>
      <c r="G60" s="118"/>
      <c r="H60" s="118" t="s">
        <v>66</v>
      </c>
      <c r="I60" s="118"/>
      <c r="J60" s="118"/>
      <c r="K60" s="149" t="s">
        <v>70</v>
      </c>
      <c r="L60" s="150"/>
      <c r="M60" s="151"/>
    </row>
    <row r="61" spans="1:13" x14ac:dyDescent="0.25">
      <c r="A61" s="7" t="s">
        <v>29</v>
      </c>
      <c r="B61" s="7" t="s">
        <v>67</v>
      </c>
      <c r="C61" s="7" t="s">
        <v>68</v>
      </c>
      <c r="D61" s="7" t="s">
        <v>41</v>
      </c>
      <c r="E61" s="7" t="s">
        <v>69</v>
      </c>
      <c r="F61" s="7" t="s">
        <v>68</v>
      </c>
      <c r="G61" s="7" t="s">
        <v>41</v>
      </c>
      <c r="H61" s="7" t="s">
        <v>69</v>
      </c>
      <c r="I61" s="7" t="s">
        <v>68</v>
      </c>
      <c r="J61" s="7" t="s">
        <v>41</v>
      </c>
      <c r="K61" s="152"/>
      <c r="L61" s="153"/>
      <c r="M61" s="154"/>
    </row>
    <row r="62" spans="1:13" x14ac:dyDescent="0.25">
      <c r="A62" s="1" t="s">
        <v>61</v>
      </c>
      <c r="B62" s="1"/>
      <c r="C62" s="1"/>
      <c r="D62" s="1">
        <f>B62*C62</f>
        <v>0</v>
      </c>
      <c r="E62" s="10"/>
      <c r="F62" s="10"/>
      <c r="G62" s="10"/>
      <c r="H62" s="10"/>
      <c r="I62" s="10"/>
      <c r="J62" s="10"/>
      <c r="K62" s="146"/>
      <c r="L62" s="146"/>
      <c r="M62" s="146"/>
    </row>
    <row r="63" spans="1:13" x14ac:dyDescent="0.25">
      <c r="A63" s="1" t="s">
        <v>62</v>
      </c>
      <c r="B63" s="1"/>
      <c r="C63" s="1"/>
      <c r="D63" s="1"/>
      <c r="E63" s="10"/>
      <c r="F63" s="10"/>
      <c r="G63" s="10"/>
      <c r="H63" s="10"/>
      <c r="I63" s="10"/>
      <c r="J63" s="10"/>
      <c r="K63" s="146">
        <f>D63+G63+J63</f>
        <v>0</v>
      </c>
      <c r="L63" s="146"/>
      <c r="M63" s="146"/>
    </row>
    <row r="64" spans="1:13" ht="15.75" thickBot="1" x14ac:dyDescent="0.3">
      <c r="A64" s="114" t="s">
        <v>70</v>
      </c>
      <c r="B64" s="115"/>
      <c r="C64" s="115"/>
      <c r="D64" s="115"/>
      <c r="E64" s="115"/>
      <c r="F64" s="115"/>
      <c r="G64" s="115"/>
      <c r="H64" s="115"/>
      <c r="I64" s="115"/>
      <c r="J64" s="116"/>
      <c r="K64" s="155">
        <f>SUM(K62:M63)</f>
        <v>0</v>
      </c>
      <c r="L64" s="156"/>
      <c r="M64" s="157"/>
    </row>
    <row r="65" spans="1:13" ht="15.75" thickTop="1" x14ac:dyDescent="0.25">
      <c r="A65" s="6" t="s">
        <v>74</v>
      </c>
      <c r="B65" s="158">
        <v>0</v>
      </c>
      <c r="C65" s="159"/>
      <c r="D65" s="159"/>
      <c r="E65" s="159"/>
      <c r="F65" s="159"/>
      <c r="G65" s="159"/>
      <c r="H65" s="160"/>
      <c r="I65" s="161" t="s">
        <v>63</v>
      </c>
      <c r="J65" s="161"/>
      <c r="K65" s="163"/>
      <c r="L65" s="164"/>
      <c r="M65" s="165"/>
    </row>
    <row r="66" spans="1:13" x14ac:dyDescent="0.25">
      <c r="A66" s="1" t="s">
        <v>14</v>
      </c>
      <c r="B66" s="172"/>
      <c r="C66" s="172"/>
      <c r="D66" s="172"/>
      <c r="E66" s="172"/>
      <c r="F66" s="172"/>
      <c r="G66" s="172"/>
      <c r="H66" s="172"/>
      <c r="I66" s="162"/>
      <c r="J66" s="162"/>
      <c r="K66" s="166"/>
      <c r="L66" s="167"/>
      <c r="M66" s="168"/>
    </row>
    <row r="67" spans="1:13" x14ac:dyDescent="0.25">
      <c r="A67" s="1" t="s">
        <v>60</v>
      </c>
      <c r="B67" s="172"/>
      <c r="C67" s="172"/>
      <c r="D67" s="172"/>
      <c r="E67" s="172"/>
      <c r="F67" s="172"/>
      <c r="G67" s="172"/>
      <c r="H67" s="172"/>
      <c r="I67" s="126"/>
      <c r="J67" s="126"/>
      <c r="K67" s="169"/>
      <c r="L67" s="170"/>
      <c r="M67" s="171"/>
    </row>
    <row r="68" spans="1:13" x14ac:dyDescent="0.25">
      <c r="A68" s="1"/>
      <c r="B68" s="148" t="s">
        <v>64</v>
      </c>
      <c r="C68" s="148"/>
      <c r="D68" s="148"/>
      <c r="E68" s="118" t="s">
        <v>65</v>
      </c>
      <c r="F68" s="118"/>
      <c r="G68" s="118"/>
      <c r="H68" s="118" t="s">
        <v>66</v>
      </c>
      <c r="I68" s="118"/>
      <c r="J68" s="118"/>
      <c r="K68" s="149" t="s">
        <v>70</v>
      </c>
      <c r="L68" s="150"/>
      <c r="M68" s="151"/>
    </row>
    <row r="69" spans="1:13" x14ac:dyDescent="0.25">
      <c r="A69" s="7" t="s">
        <v>29</v>
      </c>
      <c r="B69" s="7" t="s">
        <v>67</v>
      </c>
      <c r="C69" s="7" t="s">
        <v>68</v>
      </c>
      <c r="D69" s="7" t="s">
        <v>41</v>
      </c>
      <c r="E69" s="7" t="s">
        <v>69</v>
      </c>
      <c r="F69" s="7" t="s">
        <v>68</v>
      </c>
      <c r="G69" s="7" t="s">
        <v>41</v>
      </c>
      <c r="H69" s="7" t="s">
        <v>69</v>
      </c>
      <c r="I69" s="7" t="s">
        <v>68</v>
      </c>
      <c r="J69" s="7" t="s">
        <v>41</v>
      </c>
      <c r="K69" s="152"/>
      <c r="L69" s="153"/>
      <c r="M69" s="154"/>
    </row>
    <row r="70" spans="1:13" x14ac:dyDescent="0.25">
      <c r="A70" s="1" t="s">
        <v>61</v>
      </c>
      <c r="B70" s="1"/>
      <c r="C70" s="1"/>
      <c r="D70" s="1"/>
      <c r="E70" s="10"/>
      <c r="F70" s="10"/>
      <c r="G70" s="10"/>
      <c r="H70" s="10"/>
      <c r="I70" s="10"/>
      <c r="J70" s="10"/>
      <c r="K70" s="146">
        <f>D70+G70+J70</f>
        <v>0</v>
      </c>
      <c r="L70" s="146"/>
      <c r="M70" s="146"/>
    </row>
    <row r="71" spans="1:13" x14ac:dyDescent="0.25">
      <c r="A71" s="1" t="s">
        <v>62</v>
      </c>
      <c r="B71" s="1"/>
      <c r="C71" s="1"/>
      <c r="D71" s="1"/>
      <c r="E71" s="10"/>
      <c r="F71" s="10"/>
      <c r="G71" s="10"/>
      <c r="H71" s="10"/>
      <c r="I71" s="10"/>
      <c r="J71" s="10"/>
      <c r="K71" s="146">
        <f>D71+G71+J71</f>
        <v>0</v>
      </c>
      <c r="L71" s="146"/>
      <c r="M71" s="146"/>
    </row>
    <row r="72" spans="1:13" ht="15.75" thickBot="1" x14ac:dyDescent="0.3">
      <c r="A72" s="114" t="s">
        <v>70</v>
      </c>
      <c r="B72" s="115"/>
      <c r="C72" s="115"/>
      <c r="D72" s="115"/>
      <c r="E72" s="115"/>
      <c r="F72" s="115"/>
      <c r="G72" s="115"/>
      <c r="H72" s="115"/>
      <c r="I72" s="115"/>
      <c r="J72" s="116"/>
      <c r="K72" s="155">
        <f>SUM(K70:M71)</f>
        <v>0</v>
      </c>
      <c r="L72" s="156"/>
      <c r="M72" s="157"/>
    </row>
    <row r="73" spans="1:13" ht="15.75" thickTop="1" x14ac:dyDescent="0.25">
      <c r="A73" s="6" t="s">
        <v>73</v>
      </c>
      <c r="B73" s="158" t="s">
        <v>86</v>
      </c>
      <c r="C73" s="159"/>
      <c r="D73" s="159"/>
      <c r="E73" s="159"/>
      <c r="F73" s="159"/>
      <c r="G73" s="159"/>
      <c r="H73" s="160"/>
      <c r="I73" s="161" t="s">
        <v>63</v>
      </c>
      <c r="J73" s="161"/>
      <c r="K73" s="163"/>
      <c r="L73" s="164"/>
      <c r="M73" s="165"/>
    </row>
    <row r="74" spans="1:13" x14ac:dyDescent="0.25">
      <c r="A74" s="1" t="s">
        <v>14</v>
      </c>
      <c r="B74" s="172"/>
      <c r="C74" s="172"/>
      <c r="D74" s="172"/>
      <c r="E74" s="172"/>
      <c r="F74" s="172"/>
      <c r="G74" s="172"/>
      <c r="H74" s="172"/>
      <c r="I74" s="162"/>
      <c r="J74" s="162"/>
      <c r="K74" s="166"/>
      <c r="L74" s="167"/>
      <c r="M74" s="168"/>
    </row>
    <row r="75" spans="1:13" x14ac:dyDescent="0.25">
      <c r="A75" s="1" t="s">
        <v>60</v>
      </c>
      <c r="B75" s="172"/>
      <c r="C75" s="172"/>
      <c r="D75" s="172"/>
      <c r="E75" s="172"/>
      <c r="F75" s="172"/>
      <c r="G75" s="172"/>
      <c r="H75" s="172"/>
      <c r="I75" s="126"/>
      <c r="J75" s="126"/>
      <c r="K75" s="169"/>
      <c r="L75" s="170"/>
      <c r="M75" s="171"/>
    </row>
    <row r="76" spans="1:13" x14ac:dyDescent="0.25">
      <c r="A76" s="1"/>
      <c r="B76" s="148" t="s">
        <v>64</v>
      </c>
      <c r="C76" s="148"/>
      <c r="D76" s="148"/>
      <c r="E76" s="118" t="s">
        <v>65</v>
      </c>
      <c r="F76" s="118"/>
      <c r="G76" s="118"/>
      <c r="H76" s="118" t="s">
        <v>66</v>
      </c>
      <c r="I76" s="118"/>
      <c r="J76" s="118"/>
      <c r="K76" s="149" t="s">
        <v>70</v>
      </c>
      <c r="L76" s="150"/>
      <c r="M76" s="151"/>
    </row>
    <row r="77" spans="1:13" x14ac:dyDescent="0.25">
      <c r="A77" s="7" t="s">
        <v>29</v>
      </c>
      <c r="B77" s="7" t="s">
        <v>67</v>
      </c>
      <c r="C77" s="7" t="s">
        <v>68</v>
      </c>
      <c r="D77" s="7" t="s">
        <v>41</v>
      </c>
      <c r="E77" s="7" t="s">
        <v>69</v>
      </c>
      <c r="F77" s="7" t="s">
        <v>68</v>
      </c>
      <c r="G77" s="7" t="s">
        <v>41</v>
      </c>
      <c r="H77" s="7" t="s">
        <v>69</v>
      </c>
      <c r="I77" s="7" t="s">
        <v>68</v>
      </c>
      <c r="J77" s="7" t="s">
        <v>41</v>
      </c>
      <c r="K77" s="152"/>
      <c r="L77" s="153"/>
      <c r="M77" s="154"/>
    </row>
    <row r="78" spans="1:13" x14ac:dyDescent="0.25">
      <c r="A78" s="1" t="s">
        <v>61</v>
      </c>
      <c r="B78" s="1"/>
      <c r="C78" s="1"/>
      <c r="D78" s="1"/>
      <c r="E78" s="10"/>
      <c r="F78" s="10"/>
      <c r="G78" s="10"/>
      <c r="H78" s="10"/>
      <c r="I78" s="10"/>
      <c r="J78" s="10"/>
      <c r="K78" s="146">
        <f>D78+G78+J78</f>
        <v>0</v>
      </c>
      <c r="L78" s="146"/>
      <c r="M78" s="146"/>
    </row>
    <row r="79" spans="1:13" x14ac:dyDescent="0.25">
      <c r="A79" s="1" t="s">
        <v>62</v>
      </c>
      <c r="B79" s="1"/>
      <c r="C79" s="1"/>
      <c r="D79" s="1"/>
      <c r="E79" s="10"/>
      <c r="F79" s="10"/>
      <c r="G79" s="10"/>
      <c r="H79" s="10"/>
      <c r="I79" s="10"/>
      <c r="J79" s="10"/>
      <c r="K79" s="146">
        <f>D79+G79+J79</f>
        <v>0</v>
      </c>
      <c r="L79" s="146"/>
      <c r="M79" s="146"/>
    </row>
    <row r="80" spans="1:13" ht="15.75" thickBot="1" x14ac:dyDescent="0.3">
      <c r="A80" s="114" t="s">
        <v>70</v>
      </c>
      <c r="B80" s="115"/>
      <c r="C80" s="115"/>
      <c r="D80" s="115"/>
      <c r="E80" s="115"/>
      <c r="F80" s="115"/>
      <c r="G80" s="115"/>
      <c r="H80" s="115"/>
      <c r="I80" s="115"/>
      <c r="J80" s="116"/>
      <c r="K80" s="155">
        <f>SUM(K78:M79)</f>
        <v>0</v>
      </c>
      <c r="L80" s="156"/>
      <c r="M80" s="157"/>
    </row>
    <row r="81" spans="1:13" ht="15.75" thickTop="1" x14ac:dyDescent="0.25">
      <c r="B81" s="9"/>
      <c r="C81" s="9"/>
      <c r="D81" s="9"/>
    </row>
    <row r="82" spans="1:13" ht="15.75" thickBot="1" x14ac:dyDescent="0.3">
      <c r="A82" s="194" t="s">
        <v>76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5">
        <f>K56+K64+K72+K80</f>
        <v>0</v>
      </c>
      <c r="L82" s="195"/>
      <c r="M82" s="195"/>
    </row>
    <row r="83" spans="1:13" ht="15.75" thickTop="1" x14ac:dyDescent="0.25">
      <c r="B83" s="9"/>
      <c r="C83" s="9"/>
      <c r="D83" s="9"/>
    </row>
    <row r="84" spans="1:13" x14ac:dyDescent="0.25">
      <c r="A84" s="14" t="s">
        <v>77</v>
      </c>
    </row>
    <row r="85" spans="1:13" x14ac:dyDescent="0.25">
      <c r="A85" s="15" t="s">
        <v>79</v>
      </c>
      <c r="B85" s="15" t="s">
        <v>78</v>
      </c>
      <c r="C85" s="15" t="s">
        <v>80</v>
      </c>
      <c r="D85" s="181" t="s">
        <v>81</v>
      </c>
      <c r="E85" s="182"/>
      <c r="F85" s="182"/>
      <c r="G85" s="182"/>
      <c r="H85" s="182"/>
      <c r="I85" s="182"/>
      <c r="J85" s="182"/>
      <c r="K85" s="182"/>
      <c r="L85" s="182"/>
      <c r="M85" s="183"/>
    </row>
    <row r="86" spans="1:13" x14ac:dyDescent="0.25">
      <c r="A86" s="10"/>
      <c r="B86" s="10"/>
      <c r="C86" s="10"/>
      <c r="D86" s="181"/>
      <c r="E86" s="182"/>
      <c r="F86" s="182"/>
      <c r="G86" s="182"/>
      <c r="H86" s="182"/>
      <c r="I86" s="182"/>
      <c r="J86" s="182"/>
      <c r="K86" s="182"/>
      <c r="L86" s="182"/>
      <c r="M86" s="183"/>
    </row>
    <row r="87" spans="1:13" x14ac:dyDescent="0.25">
      <c r="A87" s="10"/>
      <c r="B87" s="10"/>
      <c r="C87" s="10"/>
      <c r="D87" s="181"/>
      <c r="E87" s="182"/>
      <c r="F87" s="182"/>
      <c r="G87" s="182"/>
      <c r="H87" s="182"/>
      <c r="I87" s="182"/>
      <c r="J87" s="182"/>
      <c r="K87" s="182"/>
      <c r="L87" s="182"/>
      <c r="M87" s="183"/>
    </row>
    <row r="88" spans="1:13" x14ac:dyDescent="0.25">
      <c r="A88" s="10"/>
      <c r="B88" s="10"/>
      <c r="C88" s="10"/>
      <c r="D88" s="181"/>
      <c r="E88" s="182"/>
      <c r="F88" s="182"/>
      <c r="G88" s="182"/>
      <c r="H88" s="182"/>
      <c r="I88" s="182"/>
      <c r="J88" s="182"/>
      <c r="K88" s="182"/>
      <c r="L88" s="182"/>
      <c r="M88" s="183"/>
    </row>
    <row r="89" spans="1:13" x14ac:dyDescent="0.25">
      <c r="A89" s="10"/>
      <c r="B89" s="10"/>
      <c r="C89" s="10"/>
      <c r="D89" s="181"/>
      <c r="E89" s="182"/>
      <c r="F89" s="182"/>
      <c r="G89" s="182"/>
      <c r="H89" s="182"/>
      <c r="I89" s="182"/>
      <c r="J89" s="182"/>
      <c r="K89" s="182"/>
      <c r="L89" s="182"/>
      <c r="M89" s="183"/>
    </row>
    <row r="90" spans="1:13" x14ac:dyDescent="0.25">
      <c r="A90" s="10"/>
      <c r="B90" s="10"/>
      <c r="C90" s="10"/>
      <c r="D90" s="181"/>
      <c r="E90" s="182"/>
      <c r="F90" s="182"/>
      <c r="G90" s="182"/>
      <c r="H90" s="182"/>
      <c r="I90" s="182"/>
      <c r="J90" s="182"/>
      <c r="K90" s="182"/>
      <c r="L90" s="182"/>
      <c r="M90" s="183"/>
    </row>
    <row r="91" spans="1:13" x14ac:dyDescent="0.25">
      <c r="A91" s="10"/>
      <c r="B91" s="10"/>
      <c r="C91" s="10"/>
      <c r="D91" s="181"/>
      <c r="E91" s="182"/>
      <c r="F91" s="182"/>
      <c r="G91" s="182"/>
      <c r="H91" s="182"/>
      <c r="I91" s="182"/>
      <c r="J91" s="182"/>
      <c r="K91" s="182"/>
      <c r="L91" s="182"/>
      <c r="M91" s="183"/>
    </row>
    <row r="93" spans="1:13" x14ac:dyDescent="0.25">
      <c r="A93" s="17" t="s">
        <v>106</v>
      </c>
    </row>
    <row r="94" spans="1:13" ht="15" customHeight="1" x14ac:dyDescent="0.25">
      <c r="A94" s="184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6"/>
    </row>
    <row r="95" spans="1:13" x14ac:dyDescent="0.25">
      <c r="A95" s="187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9"/>
    </row>
    <row r="96" spans="1:13" x14ac:dyDescent="0.25">
      <c r="A96" s="187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9"/>
    </row>
    <row r="97" spans="1:17" x14ac:dyDescent="0.25">
      <c r="A97" s="187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9"/>
    </row>
    <row r="98" spans="1:17" ht="43.5" customHeight="1" x14ac:dyDescent="0.25">
      <c r="A98" s="190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2"/>
    </row>
    <row r="100" spans="1:17" x14ac:dyDescent="0.25">
      <c r="A100" s="180" t="s">
        <v>82</v>
      </c>
      <c r="B100" s="180"/>
    </row>
    <row r="101" spans="1:17" x14ac:dyDescent="0.25">
      <c r="A101">
        <v>1</v>
      </c>
      <c r="B101" s="193" t="s">
        <v>115</v>
      </c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</row>
    <row r="102" spans="1:17" x14ac:dyDescent="0.25">
      <c r="A102">
        <v>2</v>
      </c>
      <c r="B102" s="193" t="s">
        <v>101</v>
      </c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</row>
    <row r="103" spans="1:17" x14ac:dyDescent="0.25">
      <c r="A103">
        <v>3</v>
      </c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</row>
    <row r="104" spans="1:17" x14ac:dyDescent="0.25">
      <c r="A104">
        <v>4</v>
      </c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P104" s="62"/>
      <c r="Q104" s="62"/>
    </row>
    <row r="105" spans="1:17" x14ac:dyDescent="0.25">
      <c r="A105">
        <v>5</v>
      </c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</row>
  </sheetData>
  <mergeCells count="146">
    <mergeCell ref="K73:M75"/>
    <mergeCell ref="B102:M102"/>
    <mergeCell ref="B103:M103"/>
    <mergeCell ref="K79:M79"/>
    <mergeCell ref="A80:J80"/>
    <mergeCell ref="K80:M80"/>
    <mergeCell ref="A82:J82"/>
    <mergeCell ref="K82:M82"/>
    <mergeCell ref="D85:M85"/>
    <mergeCell ref="B74:H74"/>
    <mergeCell ref="B105:M105"/>
    <mergeCell ref="A100:B100"/>
    <mergeCell ref="D86:M86"/>
    <mergeCell ref="D87:M87"/>
    <mergeCell ref="D88:M88"/>
    <mergeCell ref="D89:M89"/>
    <mergeCell ref="D90:M90"/>
    <mergeCell ref="D91:M91"/>
    <mergeCell ref="A94:M98"/>
    <mergeCell ref="B101:M101"/>
    <mergeCell ref="B75:H75"/>
    <mergeCell ref="K76:M77"/>
    <mergeCell ref="K70:M70"/>
    <mergeCell ref="L41:M46"/>
    <mergeCell ref="E60:G60"/>
    <mergeCell ref="H60:J60"/>
    <mergeCell ref="K62:M62"/>
    <mergeCell ref="K60:M61"/>
    <mergeCell ref="B65:H65"/>
    <mergeCell ref="I65:J67"/>
    <mergeCell ref="B104:M104"/>
    <mergeCell ref="B76:D76"/>
    <mergeCell ref="E76:G76"/>
    <mergeCell ref="H76:J76"/>
    <mergeCell ref="K78:M78"/>
    <mergeCell ref="K71:M71"/>
    <mergeCell ref="A72:J72"/>
    <mergeCell ref="K72:M72"/>
    <mergeCell ref="B73:H73"/>
    <mergeCell ref="I73:J75"/>
    <mergeCell ref="K65:M67"/>
    <mergeCell ref="B66:H66"/>
    <mergeCell ref="B67:H67"/>
    <mergeCell ref="H68:J68"/>
    <mergeCell ref="K57:M59"/>
    <mergeCell ref="B58:H58"/>
    <mergeCell ref="B59:H59"/>
    <mergeCell ref="A64:J64"/>
    <mergeCell ref="K64:M64"/>
    <mergeCell ref="K63:M63"/>
    <mergeCell ref="A56:J56"/>
    <mergeCell ref="K56:M56"/>
    <mergeCell ref="B60:D60"/>
    <mergeCell ref="B50:L50"/>
    <mergeCell ref="B68:D68"/>
    <mergeCell ref="E68:G68"/>
    <mergeCell ref="K68:M69"/>
    <mergeCell ref="K55:M55"/>
    <mergeCell ref="B57:H57"/>
    <mergeCell ref="I57:J59"/>
    <mergeCell ref="I47:J47"/>
    <mergeCell ref="I46:J46"/>
    <mergeCell ref="K54:M54"/>
    <mergeCell ref="A48:M48"/>
    <mergeCell ref="B52:D52"/>
    <mergeCell ref="E52:G52"/>
    <mergeCell ref="H52:J52"/>
    <mergeCell ref="K52:M53"/>
    <mergeCell ref="A23:M23"/>
    <mergeCell ref="I40:J40"/>
    <mergeCell ref="A47:B47"/>
    <mergeCell ref="L47:M47"/>
    <mergeCell ref="L40:M40"/>
    <mergeCell ref="I41:J41"/>
    <mergeCell ref="I42:J42"/>
    <mergeCell ref="I43:J43"/>
    <mergeCell ref="I44:J44"/>
    <mergeCell ref="I45:J45"/>
    <mergeCell ref="B24:C24"/>
    <mergeCell ref="G24:J24"/>
    <mergeCell ref="B25:C25"/>
    <mergeCell ref="G25:J25"/>
    <mergeCell ref="B26:C26"/>
    <mergeCell ref="G26:J26"/>
    <mergeCell ref="A39:M39"/>
    <mergeCell ref="A32:B32"/>
    <mergeCell ref="K32:K33"/>
    <mergeCell ref="L32:M32"/>
    <mergeCell ref="L38:M38"/>
    <mergeCell ref="A38:J38"/>
    <mergeCell ref="A29:J29"/>
    <mergeCell ref="A31:M31"/>
    <mergeCell ref="C32:F32"/>
    <mergeCell ref="G32:H32"/>
    <mergeCell ref="I32:J32"/>
    <mergeCell ref="B27:C27"/>
    <mergeCell ref="G27:J27"/>
    <mergeCell ref="B28:C28"/>
    <mergeCell ref="G28:J28"/>
    <mergeCell ref="A17:B17"/>
    <mergeCell ref="C21:I21"/>
    <mergeCell ref="A18:B18"/>
    <mergeCell ref="A19:B19"/>
    <mergeCell ref="G17:I18"/>
    <mergeCell ref="C17:E17"/>
    <mergeCell ref="C18:E18"/>
    <mergeCell ref="C22:I22"/>
    <mergeCell ref="L5:M5"/>
    <mergeCell ref="J16:K16"/>
    <mergeCell ref="J19:K19"/>
    <mergeCell ref="L19:M19"/>
    <mergeCell ref="C19:I19"/>
    <mergeCell ref="F17:F18"/>
    <mergeCell ref="B9:E9"/>
    <mergeCell ref="B10:E10"/>
    <mergeCell ref="B8:E8"/>
    <mergeCell ref="J5:K5"/>
    <mergeCell ref="L20:M20"/>
    <mergeCell ref="L21:M21"/>
    <mergeCell ref="L22:M22"/>
    <mergeCell ref="A22:B22"/>
    <mergeCell ref="J22:K22"/>
    <mergeCell ref="A20:B20"/>
    <mergeCell ref="J20:K20"/>
    <mergeCell ref="A21:B21"/>
    <mergeCell ref="J21:K21"/>
    <mergeCell ref="H16:I16"/>
    <mergeCell ref="B11:E11"/>
    <mergeCell ref="A12:M12"/>
    <mergeCell ref="A1:M2"/>
    <mergeCell ref="A3:M4"/>
    <mergeCell ref="B5:E5"/>
    <mergeCell ref="B6:E6"/>
    <mergeCell ref="B7:E7"/>
    <mergeCell ref="F5:G5"/>
    <mergeCell ref="H5:I5"/>
    <mergeCell ref="C13:I13"/>
    <mergeCell ref="C14:I14"/>
    <mergeCell ref="J17:K17"/>
    <mergeCell ref="J18:K18"/>
    <mergeCell ref="A15:B15"/>
    <mergeCell ref="C15:M15"/>
    <mergeCell ref="A16:B16"/>
    <mergeCell ref="L16:M16"/>
    <mergeCell ref="C16:D16"/>
    <mergeCell ref="E16:G16"/>
  </mergeCells>
  <pageMargins left="0.70866141732283505" right="0.70866141732283505" top="0.74803149606299202" bottom="0.74803149606299202" header="0.31496062992126" footer="0.31496062992126"/>
  <pageSetup paperSize="9" scale="77" fitToHeight="3" orientation="landscape" r:id="rId1"/>
  <rowBreaks count="2" manualBreakCount="2">
    <brk id="38" max="16383" man="1"/>
    <brk id="8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:G11"/>
  <sheetViews>
    <sheetView workbookViewId="0">
      <selection activeCell="L17" sqref="L17"/>
    </sheetView>
  </sheetViews>
  <sheetFormatPr defaultRowHeight="15" x14ac:dyDescent="0.25"/>
  <cols>
    <col min="6" max="6" width="11.5703125" bestFit="1" customWidth="1"/>
  </cols>
  <sheetData>
    <row r="8" spans="6:7" x14ac:dyDescent="0.25">
      <c r="F8" s="10" t="s">
        <v>107</v>
      </c>
      <c r="G8" s="10">
        <v>323455</v>
      </c>
    </row>
    <row r="9" spans="6:7" x14ac:dyDescent="0.25">
      <c r="F9" s="10" t="s">
        <v>108</v>
      </c>
      <c r="G9" s="10">
        <v>3234</v>
      </c>
    </row>
    <row r="10" spans="6:7" x14ac:dyDescent="0.25">
      <c r="F10" s="10" t="s">
        <v>109</v>
      </c>
      <c r="G10" s="10">
        <v>582</v>
      </c>
    </row>
    <row r="11" spans="6:7" x14ac:dyDescent="0.25">
      <c r="F11" s="10" t="s">
        <v>110</v>
      </c>
      <c r="G11" s="10">
        <f>SUM(G8:G10)</f>
        <v>327271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2025-09-12T09:21:53Z</dcterms:modified>
</cp:coreProperties>
</file>